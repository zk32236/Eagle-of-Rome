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基础数值" sheetId="1" r:id="rId1"/>
    <sheet name="换算关系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<sst xmlns="http://schemas.openxmlformats.org/spreadsheetml/2006/main" count="106" uniqueCount="87">
  <si>
    <t>对象</t>
  </si>
  <si>
    <t>土地单位</t>
  </si>
  <si>
    <t>货币单位</t>
  </si>
  <si>
    <t>中文单位</t>
  </si>
  <si>
    <t>肯图里亚</t>
  </si>
  <si>
    <t>塔兰特</t>
  </si>
  <si>
    <t>英文单位</t>
  </si>
  <si>
    <t>Centuria</t>
  </si>
  <si>
    <t>Talent</t>
  </si>
  <si>
    <t>英文缩写</t>
  </si>
  <si>
    <t>C</t>
  </si>
  <si>
    <t>T</t>
  </si>
  <si>
    <t>现代价值</t>
  </si>
  <si>
    <t>50公顷</t>
  </si>
  <si>
    <t>240万美元</t>
  </si>
  <si>
    <t>最小土地</t>
  </si>
  <si>
    <t>财产</t>
  </si>
  <si>
    <t>元老</t>
  </si>
  <si>
    <t>1C</t>
  </si>
  <si>
    <t>20T</t>
  </si>
  <si>
    <t>骑士</t>
  </si>
  <si>
    <t>18T</t>
  </si>
  <si>
    <t>平民</t>
  </si>
  <si>
    <t>数量</t>
  </si>
  <si>
    <t>单位</t>
  </si>
  <si>
    <t>配置项</t>
  </si>
  <si>
    <t>值</t>
  </si>
  <si>
    <t>说明</t>
  </si>
  <si>
    <t>骑士门槛财富</t>
  </si>
  <si>
    <t>land_price_per_unit</t>
  </si>
  <si>
    <t>10 塔兰特</t>
  </si>
  <si>
    <r>
      <t>1C 土地的价值</t>
    </r>
    <r>
      <rPr>
        <sz val="11.25"/>
        <color rgb="FF0F1115"/>
        <rFont val="Segoe UI"/>
        <charset val="134"/>
      </rPr>
      <t>，用于计算土地交易价格、收益基数等。</t>
    </r>
  </si>
  <si>
    <t>元老门槛</t>
  </si>
  <si>
    <t>private_land_income_rate</t>
  </si>
  <si>
    <t>0.05 (5%)</t>
  </si>
  <si>
    <r>
      <t>私地收益率</t>
    </r>
    <r>
      <rPr>
        <sz val="11.25"/>
        <color rgb="FF0F1115"/>
        <rFont val="Segoe UI"/>
        <charset val="134"/>
      </rPr>
      <t>：人物私地每回合产出 = 私地数量 × </t>
    </r>
    <r>
      <rPr>
        <sz val="9.75"/>
        <color rgb="FF0F1115"/>
        <rFont val="Consolas"/>
        <charset val="134"/>
      </rPr>
      <t>land_price_per_unit</t>
    </r>
    <r>
      <rPr>
        <sz val="11.25"/>
        <color rgb="FF0F1115"/>
        <rFont val="Segoe UI"/>
        <charset val="134"/>
      </rPr>
      <t> × 该比率。</t>
    </r>
  </si>
  <si>
    <t>national_public_land_tax_rate</t>
  </si>
  <si>
    <t>0.02 (2%)</t>
  </si>
  <si>
    <r>
      <t>国家公地税率</t>
    </r>
    <r>
      <rPr>
        <sz val="11.25"/>
        <color rgb="FF0F1115"/>
        <rFont val="Segoe UI"/>
        <charset val="134"/>
      </rPr>
      <t>：国库每回合从国家公地获得的收益 = 国家公地 × </t>
    </r>
    <r>
      <rPr>
        <sz val="9.75"/>
        <color rgb="FF0F1115"/>
        <rFont val="Consolas"/>
        <charset val="134"/>
      </rPr>
      <t>land_price_per_unit</t>
    </r>
    <r>
      <rPr>
        <sz val="11.25"/>
        <color rgb="FF0F1115"/>
        <rFont val="Segoe UI"/>
        <charset val="134"/>
      </rPr>
      <t> × 该比率。</t>
    </r>
  </si>
  <si>
    <t>实体</t>
  </si>
  <si>
    <t>价格（T）</t>
  </si>
  <si>
    <t>上限</t>
  </si>
  <si>
    <t>province_tax_rate</t>
  </si>
  <si>
    <t>0.1 (10%)</t>
  </si>
  <si>
    <r>
      <t>行省基础税率</t>
    </r>
    <r>
      <rPr>
        <sz val="11.25"/>
        <color rgb="FF0F1115"/>
        <rFont val="Segoe UI"/>
        <charset val="134"/>
      </rPr>
      <t>：用于计算行省年收益（行省公地 × </t>
    </r>
    <r>
      <rPr>
        <sz val="9.75"/>
        <color rgb="FF0F1115"/>
        <rFont val="Consolas"/>
        <charset val="134"/>
      </rPr>
      <t>land_price_per_unit</t>
    </r>
    <r>
      <rPr>
        <sz val="11.25"/>
        <color rgb="FF0F1115"/>
        <rFont val="Segoe UI"/>
        <charset val="134"/>
      </rPr>
      <t> × 该比率），作为包税权合同底价的基数。</t>
    </r>
  </si>
  <si>
    <t>土地</t>
  </si>
  <si>
    <t>公民军团征召</t>
  </si>
  <si>
    <t>军团</t>
  </si>
  <si>
    <t>公民军团维护</t>
  </si>
  <si>
    <t>年</t>
  </si>
  <si>
    <t>常备军团征召</t>
  </si>
  <si>
    <t>常备军团维护</t>
  </si>
  <si>
    <t>公地租金</t>
  </si>
  <si>
    <t>土地回报</t>
  </si>
  <si>
    <t>公地</t>
  </si>
  <si>
    <t>价值</t>
  </si>
  <si>
    <t>收益</t>
  </si>
  <si>
    <t>价格</t>
  </si>
  <si>
    <t>国家公地价值 = 国家公地数量 × land_price_per_unit</t>
  </si>
  <si>
    <t>公地数量</t>
  </si>
  <si>
    <t>行省公地价值 = province.land_public × land_price_per_unit</t>
  </si>
  <si>
    <t>公地价值</t>
  </si>
  <si>
    <t>基建成本</t>
  </si>
  <si>
    <t>行政区公地价值 = 行省公地价值 or 国家公地价值</t>
  </si>
  <si>
    <t>公共工程预算</t>
  </si>
  <si>
    <t>理论施工周期</t>
  </si>
  <si>
    <t>行政区基建成本 = 行政区公地价值 × 基建成本率 （1%）</t>
  </si>
  <si>
    <t>理论质保周期</t>
  </si>
  <si>
    <t>公共工程预算 = 行政区基建成本 × （1+20%）</t>
  </si>
  <si>
    <t>骑士报价比例r</t>
  </si>
  <si>
    <t>公共工程理论施工周期 = X年</t>
  </si>
  <si>
    <t>公共工程承包价</t>
  </si>
  <si>
    <t>公共工程理论质保周期 = N年</t>
  </si>
  <si>
    <t>骑士实际工程成本</t>
  </si>
  <si>
    <t>骑士降价比例r（例如10%）</t>
  </si>
  <si>
    <t>公共工程实际质保周期</t>
  </si>
  <si>
    <t>公共工程承包价 = 公共工程预算 × (1 - 骑士降价比例r）</t>
  </si>
  <si>
    <t>公共工程实际施工周期</t>
  </si>
  <si>
    <t>骑士实际工程成本 = 行政区基建成本 × (1-r)</t>
  </si>
  <si>
    <t>骑士总收益</t>
  </si>
  <si>
    <t>公共工程实际质保周期 = N × (1-r)</t>
  </si>
  <si>
    <t>骑士年收入</t>
  </si>
  <si>
    <t>公共工程实际施工周期 = X年 × (1+r)</t>
  </si>
  <si>
    <t>骑士总收益 = 公共工程承包价 - 骑士实际工程成本</t>
  </si>
  <si>
    <t>骑士年收入 = 公共工程承包价/公共工程实际施工周期</t>
  </si>
  <si>
    <t>骑士年支出 = 骑士实际工程成本/公共工程实际施工周期</t>
  </si>
  <si>
    <t>公共工程实际保质期结束，行省处于工程失修状态，无法抵御自然灾害；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</si>
</sst>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0.0_ "/>
    <numFmt numFmtId="177" formatCode="0_ "/>
  </numFmts>
  <fonts count="24">
    <font>
      <sz val="11"/>
      <color theme="1"/>
      <name val="宋体"/>
      <charset val="134"/>
      <scheme val="minor"/>
    </font>
    <font>
      <sz val="9.8"/>
      <color rgb="FF9876AA"/>
      <name val="Courier New"/>
      <charset val="134"/>
    </font>
    <font>
      <sz val="9.75"/>
      <color rgb="FFE45649"/>
      <name val="Consolas"/>
      <charset val="134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0" fillId="0" borderId="3" xfId="0" applyBorder="1">
      <alignment vertical="center"/>
    </xf>
    <xf numFmtId="9" fontId="0" fillId="0" borderId="3" xfId="0" applyNumberFormat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24" sqref="B24"/>
    </sheetView>
  </sheetViews>
  <sheetFormatPr defaultColWidth="9" defaultRowHeight="13.5" outlineLevelCol="2"/>
  <cols>
    <col min="1" max="1" width="8.875" customWidth="1"/>
    <col min="2" max="2" width="9.375" customWidth="1"/>
    <col min="3" max="3" width="10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3" t="s">
        <v>3</v>
      </c>
      <c r="B2" s="13" t="s">
        <v>4</v>
      </c>
      <c r="C2" s="13" t="s">
        <v>5</v>
      </c>
    </row>
    <row r="3" spans="1:3">
      <c r="A3" s="13" t="s">
        <v>6</v>
      </c>
      <c r="B3" s="13" t="s">
        <v>7</v>
      </c>
      <c r="C3" s="13" t="s">
        <v>8</v>
      </c>
    </row>
    <row r="4" spans="1:3">
      <c r="A4" s="13" t="s">
        <v>9</v>
      </c>
      <c r="B4" s="13" t="s">
        <v>10</v>
      </c>
      <c r="C4" s="13" t="s">
        <v>11</v>
      </c>
    </row>
    <row r="5" spans="1:3">
      <c r="A5" s="13" t="s">
        <v>12</v>
      </c>
      <c r="B5" s="13" t="s">
        <v>13</v>
      </c>
      <c r="C5" s="13" t="s">
        <v>14</v>
      </c>
    </row>
    <row r="7" spans="1:3">
      <c r="A7" s="6"/>
      <c r="B7" s="6" t="s">
        <v>15</v>
      </c>
      <c r="C7" s="6" t="s">
        <v>16</v>
      </c>
    </row>
    <row r="8" spans="1:3">
      <c r="A8" s="6" t="s">
        <v>17</v>
      </c>
      <c r="B8" s="6" t="s">
        <v>18</v>
      </c>
      <c r="C8" s="6" t="s">
        <v>19</v>
      </c>
    </row>
    <row r="9" spans="1:3">
      <c r="A9" s="6" t="s">
        <v>20</v>
      </c>
      <c r="B9" s="6"/>
      <c r="C9" s="6" t="s">
        <v>21</v>
      </c>
    </row>
    <row r="10" spans="1:3">
      <c r="A10" s="6" t="s">
        <v>22</v>
      </c>
      <c r="B10" s="6"/>
      <c r="C10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8"/>
  <sheetViews>
    <sheetView tabSelected="1" workbookViewId="0">
      <selection activeCell="L7" sqref="L7"/>
    </sheetView>
  </sheetViews>
  <sheetFormatPr defaultColWidth="9" defaultRowHeight="13.5"/>
  <cols>
    <col min="1" max="1" width="12.875" customWidth="1"/>
    <col min="10" max="10" width="31.75" customWidth="1"/>
    <col min="12" max="12" width="103" customWidth="1"/>
  </cols>
  <sheetData>
    <row r="2" spans="1:12">
      <c r="B2" t="s">
        <v>23</v>
      </c>
      <c r="C2" t="s">
        <v>24</v>
      </c>
      <c r="J2" s="5" t="s">
        <v>25</v>
      </c>
      <c r="K2" s="5" t="s">
        <v>26</v>
      </c>
      <c r="L2" s="5" t="s">
        <v>27</v>
      </c>
    </row>
    <row r="3" ht="16.5" spans="1:12">
      <c r="A3" s="6" t="s">
        <v>28</v>
      </c>
      <c r="B3" s="6">
        <v>18</v>
      </c>
      <c r="C3" t="s">
        <v>11</v>
      </c>
      <c r="J3" s="7" t="s">
        <v>29</v>
      </c>
      <c r="K3" s="8" t="s">
        <v>30</v>
      </c>
      <c r="L3" s="8" t="s">
        <v>31</v>
      </c>
    </row>
    <row r="4" ht="16.5" spans="1:12">
      <c r="A4" s="6" t="s">
        <v>32</v>
      </c>
      <c r="B4" s="6">
        <v>2</v>
      </c>
      <c r="C4" t="s">
        <v>10</v>
      </c>
      <c r="J4" s="7" t="s">
        <v>33</v>
      </c>
      <c r="K4" s="8" t="s">
        <v>34</v>
      </c>
      <c r="L4" s="8" t="s">
        <v>35</v>
      </c>
    </row>
    <row r="5" ht="16.5" spans="1:12">
      <c r="A5" s="6"/>
      <c r="B5" s="6"/>
      <c r="J5" s="7" t="s">
        <v>36</v>
      </c>
      <c r="K5" s="8" t="s">
        <v>37</v>
      </c>
      <c r="L5" s="8" t="s">
        <v>38</v>
      </c>
    </row>
    <row r="6" ht="16.5" spans="1:12">
      <c r="A6" s="6" t="s">
        <v>39</v>
      </c>
      <c r="B6" s="6" t="s">
        <v>23</v>
      </c>
      <c r="C6" s="6" t="s">
        <v>24</v>
      </c>
      <c r="D6" s="6" t="s">
        <v>40</v>
      </c>
      <c r="E6" s="6" t="s">
        <v>41</v>
      </c>
      <c r="J6" s="7" t="s">
        <v>42</v>
      </c>
      <c r="K6" s="8" t="s">
        <v>43</v>
      </c>
      <c r="L6" s="8" t="s">
        <v>44</v>
      </c>
    </row>
    <row r="7" spans="1:12">
      <c r="A7" s="6" t="s">
        <v>45</v>
      </c>
      <c r="B7" s="6">
        <v>1</v>
      </c>
      <c r="C7" s="6" t="s">
        <v>10</v>
      </c>
      <c r="D7" s="6">
        <v>10</v>
      </c>
      <c r="E7" s="6"/>
    </row>
    <row r="8" spans="1:12">
      <c r="A8" s="6" t="s">
        <v>46</v>
      </c>
      <c r="B8" s="6">
        <v>1</v>
      </c>
      <c r="C8" s="6" t="s">
        <v>47</v>
      </c>
      <c r="D8" s="6">
        <v>5</v>
      </c>
      <c r="E8" s="6"/>
    </row>
    <row r="9" spans="1:12">
      <c r="A9" s="6" t="s">
        <v>48</v>
      </c>
      <c r="B9" s="6">
        <v>1</v>
      </c>
      <c r="C9" s="6" t="s">
        <v>49</v>
      </c>
      <c r="D9" s="6">
        <v>10</v>
      </c>
      <c r="E9" s="6"/>
    </row>
    <row r="10" spans="1:12">
      <c r="A10" s="6" t="s">
        <v>50</v>
      </c>
      <c r="B10" s="6">
        <v>1</v>
      </c>
      <c r="C10" s="6" t="s">
        <v>47</v>
      </c>
      <c r="D10" s="6">
        <v>20</v>
      </c>
      <c r="E10" s="6"/>
    </row>
    <row r="11" spans="1:12">
      <c r="A11" s="6" t="s">
        <v>51</v>
      </c>
      <c r="B11" s="6">
        <v>1</v>
      </c>
      <c r="C11" s="6" t="s">
        <v>49</v>
      </c>
      <c r="D11" s="6">
        <v>200</v>
      </c>
      <c r="E11" s="6"/>
    </row>
    <row r="18" spans="1:3">
      <c r="A18" s="9" t="s">
        <v>52</v>
      </c>
      <c r="B18" s="10">
        <v>0.02</v>
      </c>
    </row>
    <row r="19" spans="1:3">
      <c r="A19" s="11" t="s">
        <v>53</v>
      </c>
      <c r="B19" s="12">
        <v>0.05</v>
      </c>
    </row>
    <row r="20" spans="1:3">
      <c r="A20" s="6" t="s">
        <v>39</v>
      </c>
      <c r="B20" s="6" t="s">
        <v>23</v>
      </c>
      <c r="C20" s="6" t="s">
        <v>24</v>
      </c>
    </row>
    <row r="21" spans="1:3">
      <c r="A21" s="6" t="s">
        <v>54</v>
      </c>
      <c r="B21" s="6">
        <v>3000</v>
      </c>
      <c r="C21" s="6" t="s">
        <v>10</v>
      </c>
    </row>
    <row r="22" spans="1:3">
      <c r="A22" s="6" t="s">
        <v>55</v>
      </c>
      <c r="B22" s="6">
        <f>B21*10</f>
        <v>30000</v>
      </c>
      <c r="C22" s="6" t="s">
        <v>11</v>
      </c>
    </row>
    <row r="23" spans="1:3">
      <c r="A23" s="6" t="s">
        <v>56</v>
      </c>
      <c r="B23" s="6">
        <f>B22*B18</f>
        <v>600</v>
      </c>
      <c r="C23" s="6" t="s">
        <v>11</v>
      </c>
    </row>
    <row r="26" spans="1:3">
      <c r="A26" s="6" t="s">
        <v>39</v>
      </c>
      <c r="B26" s="6" t="s">
        <v>23</v>
      </c>
      <c r="C26" s="6" t="s">
        <v>24</v>
      </c>
    </row>
    <row r="27" spans="1:3">
      <c r="A27" s="6" t="s">
        <v>45</v>
      </c>
      <c r="B27" s="6">
        <v>1</v>
      </c>
      <c r="C27" s="6" t="s">
        <v>10</v>
      </c>
    </row>
    <row r="28" spans="1:3">
      <c r="A28" s="6" t="s">
        <v>57</v>
      </c>
      <c r="B28" s="6">
        <v>10</v>
      </c>
      <c r="C28" s="6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opLeftCell="A7" workbookViewId="0">
      <selection activeCell="A31" sqref="A31:A32"/>
    </sheetView>
  </sheetViews>
  <sheetFormatPr defaultColWidth="9" defaultRowHeight="13.5" outlineLevelCol="6"/>
  <cols>
    <col min="1" max="1" width="67.125" customWidth="1"/>
    <col min="4" max="4" width="21.25" customWidth="1"/>
    <col min="5" max="5" width="10.875" customWidth="1"/>
  </cols>
  <sheetData>
    <row r="1" spans="1:5">
      <c r="A1" t="s">
        <v>58</v>
      </c>
      <c r="D1" t="s">
        <v>59</v>
      </c>
      <c r="E1" s="1">
        <v>300</v>
      </c>
    </row>
    <row r="2" spans="1:5">
      <c r="A2" t="s">
        <v>60</v>
      </c>
      <c r="D2" t="s">
        <v>61</v>
      </c>
      <c r="E2" s="1">
        <f>E1*10</f>
        <v>3000</v>
      </c>
    </row>
    <row r="3" spans="1:5">
      <c r="D3" t="s">
        <v>62</v>
      </c>
      <c r="E3" s="1">
        <f>E2*0.01</f>
        <v>30</v>
      </c>
    </row>
    <row r="4" spans="1:5">
      <c r="A4" t="s">
        <v>63</v>
      </c>
      <c r="D4" t="s">
        <v>64</v>
      </c>
      <c r="E4" s="1">
        <f>E3*1.2</f>
        <v>36</v>
      </c>
    </row>
    <row r="5" spans="1:5">
      <c r="D5" t="s">
        <v>65</v>
      </c>
      <c r="E5" s="1">
        <v>3</v>
      </c>
    </row>
    <row r="6" spans="1:5">
      <c r="A6" t="s">
        <v>66</v>
      </c>
      <c r="D6" t="s">
        <v>67</v>
      </c>
      <c r="E6" s="1">
        <v>10</v>
      </c>
    </row>
    <row r="7" spans="1:5">
      <c r="A7" t="s">
        <v>68</v>
      </c>
      <c r="D7" t="s">
        <v>69</v>
      </c>
      <c r="E7" s="1">
        <v>0.1</v>
      </c>
    </row>
    <row r="8" spans="1:5">
      <c r="A8" t="s">
        <v>70</v>
      </c>
      <c r="D8" t="s">
        <v>71</v>
      </c>
      <c r="E8" s="1">
        <f>E4*(1-E7)</f>
        <v>32.4</v>
      </c>
    </row>
    <row r="9" spans="1:5">
      <c r="A9" t="s">
        <v>72</v>
      </c>
      <c r="D9" t="s">
        <v>73</v>
      </c>
      <c r="E9" s="1">
        <f>E3*(1-E7)</f>
        <v>27</v>
      </c>
    </row>
    <row r="10" spans="1:5">
      <c r="A10" t="s">
        <v>74</v>
      </c>
      <c r="D10" t="s">
        <v>75</v>
      </c>
      <c r="E10" s="1">
        <f>E6*(1-E7)</f>
        <v>9</v>
      </c>
    </row>
    <row r="11" spans="1:5">
      <c r="A11" t="s">
        <v>76</v>
      </c>
      <c r="D11" t="s">
        <v>77</v>
      </c>
      <c r="E11" s="1">
        <f>E5*(1+E7)</f>
        <v>3.3</v>
      </c>
    </row>
    <row r="12" spans="1:5">
      <c r="A12" t="s">
        <v>78</v>
      </c>
      <c r="D12" t="s">
        <v>79</v>
      </c>
      <c r="E12" s="1">
        <f>E8-E9</f>
        <v>5.4</v>
      </c>
    </row>
    <row r="13" spans="1:5">
      <c r="A13" t="s">
        <v>80</v>
      </c>
      <c r="D13" t="s">
        <v>81</v>
      </c>
      <c r="E13" s="1">
        <f>E12/E11</f>
        <v>1.63636363636364</v>
      </c>
    </row>
    <row r="14" spans="1:5">
      <c r="A14" t="s">
        <v>82</v>
      </c>
    </row>
    <row r="15" spans="1:5">
      <c r="A15" t="s">
        <v>83</v>
      </c>
    </row>
    <row r="16" spans="1:5">
      <c r="A16" t="s">
        <v>84</v>
      </c>
    </row>
    <row r="17" spans="1:7">
      <c r="A17" t="s">
        <v>85</v>
      </c>
    </row>
    <row r="18" spans="1:7">
      <c r="A18" t="s">
        <v>86</v>
      </c>
    </row>
    <row r="24" spans="1:7">
      <c r="F24">
        <v>0.6</v>
      </c>
      <c r="G24" s="2">
        <v>100</v>
      </c>
    </row>
    <row r="25" spans="1:7">
      <c r="G25" s="2">
        <f t="shared" ref="G25:G33" si="0">G24*$F$24</f>
        <v>60</v>
      </c>
    </row>
    <row r="26" spans="1:7">
      <c r="G26" s="2">
        <f t="shared" si="0"/>
        <v>36</v>
      </c>
    </row>
    <row r="27" spans="1:7">
      <c r="G27" s="2">
        <f t="shared" si="0"/>
        <v>21.6</v>
      </c>
    </row>
    <row r="28" spans="1:7">
      <c r="G28" s="2">
        <f t="shared" si="0"/>
        <v>12.96</v>
      </c>
    </row>
    <row r="29" spans="1:7">
      <c r="G29" s="2">
        <f t="shared" si="0"/>
        <v>7.776</v>
      </c>
    </row>
    <row r="30" spans="1:7">
      <c r="A30" s="3"/>
      <c r="C30" s="4"/>
      <c r="G30" s="2">
        <f t="shared" si="0"/>
        <v>4.6656</v>
      </c>
    </row>
    <row r="31" spans="1:7">
      <c r="A31" s="3"/>
      <c r="C31" s="4"/>
      <c r="G31" s="2">
        <f t="shared" si="0"/>
        <v>2.79936</v>
      </c>
    </row>
    <row r="32" spans="1:7">
      <c r="A32" s="3"/>
      <c r="C32" s="4"/>
      <c r="G32" s="2">
        <f t="shared" si="0"/>
        <v>1.679616</v>
      </c>
    </row>
    <row r="33" spans="1:7">
      <c r="A33" s="3"/>
      <c r="C33" s="4"/>
      <c r="G33" s="2">
        <f t="shared" si="0"/>
        <v>1.0077696</v>
      </c>
    </row>
    <row r="34" spans="1:7">
      <c r="A34" s="3"/>
      <c r="C34" s="4"/>
    </row>
    <row r="35" spans="1:7">
      <c r="A35" s="3"/>
      <c r="C35" s="4"/>
    </row>
    <row r="36" spans="1:7">
      <c r="A36" s="3"/>
      <c r="C36" s="4"/>
    </row>
    <row r="37" spans="1:7">
      <c r="A37" s="3"/>
      <c r="C37" s="4"/>
    </row>
    <row r="38" spans="1:7">
      <c r="A38" s="3"/>
      <c r="C38" s="4"/>
    </row>
    <row r="39" spans="1:7">
      <c r="A39" s="3"/>
      <c r="C39" s="4"/>
    </row>
    <row r="40" spans="1:7">
      <c r="A40" s="3"/>
      <c r="C40" s="4"/>
    </row>
    <row r="41" spans="1:7">
      <c r="A41" s="3"/>
      <c r="C41" s="4"/>
    </row>
    <row r="42" spans="1:7">
      <c r="A42" s="3"/>
      <c r="C42" s="4"/>
    </row>
    <row r="43" spans="1:7">
      <c r="A43" s="3"/>
      <c r="C43" s="4"/>
    </row>
    <row r="44" spans="1:7">
      <c r="A44" s="3"/>
      <c r="C44" s="4"/>
    </row>
    <row r="45" spans="1:7">
      <c r="A45" s="3"/>
      <c r="C45" s="4"/>
    </row>
    <row r="46" spans="1:7">
      <c r="A46" s="4"/>
    </row>
    <row r="47" spans="1:7">
      <c r="A47" s="4"/>
    </row>
    <row r="48" spans="1:7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7" spans="1:1">
      <c r="A57" s="4"/>
    </row>
    <row r="60" spans="1:1">
      <c r="A60" s="4"/>
    </row>
    <row r="61" spans="1:1">
      <c r="A61" s="4"/>
    </row>
  </sheetData>
  <conditionalFormatting sqref="A30:A52 A57 A60:A6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基础数值</vt:lpstr>
      <vt:lpstr>换算关系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</dc:creator>
  <cp:lastModifiedBy>Kerl</cp:lastModifiedBy>
  <dcterms:created xsi:type="dcterms:W3CDTF">2026-02-22T22:55:00Z</dcterms:created>
  <dcterms:modified xsi:type="dcterms:W3CDTF">2026-03-01T05:08:27Z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57E0BB9B204744988B333DC0D5A20681_11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